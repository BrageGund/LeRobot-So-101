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b71f8b6e91dc60/Dokumenter/Project Portfolio/LeRobot SO-101/"/>
    </mc:Choice>
  </mc:AlternateContent>
  <xr:revisionPtr revIDLastSave="0" documentId="8_{CD740248-2368-4484-9E19-47D4C1BB47E5}" xr6:coauthVersionLast="47" xr6:coauthVersionMax="47" xr10:uidLastSave="{00000000-0000-0000-0000-000000000000}"/>
  <bookViews>
    <workbookView xWindow="-110" yWindow="-110" windowWidth="19420" windowHeight="11500" xr2:uid="{A59CDED1-65C3-42C9-9E50-8D90066E49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J5" i="1"/>
  <c r="J4" i="1"/>
  <c r="J3" i="1"/>
  <c r="J7" i="1" l="1"/>
  <c r="J9" i="1" s="1"/>
</calcChain>
</file>

<file path=xl/sharedStrings.xml><?xml version="1.0" encoding="utf-8"?>
<sst xmlns="http://schemas.openxmlformats.org/spreadsheetml/2006/main" count="33" uniqueCount="32">
  <si>
    <t>Qty</t>
  </si>
  <si>
    <t>Unit:
(Ea./Pkg./Ft.)</t>
  </si>
  <si>
    <t>Item Description</t>
  </si>
  <si>
    <t>Part Number</t>
  </si>
  <si>
    <t>Unit Cost</t>
  </si>
  <si>
    <t>Total</t>
  </si>
  <si>
    <t>Link to item</t>
  </si>
  <si>
    <t>How many units do you want to order?</t>
  </si>
  <si>
    <t>Is this item sold as a package, a single part, or a material length, etc.</t>
  </si>
  <si>
    <t>Brief description of what this item is</t>
  </si>
  <si>
    <t>Supplier part number</t>
  </si>
  <si>
    <t>Price of one unit of this item</t>
  </si>
  <si>
    <t>Autocalculated cost for this line item</t>
  </si>
  <si>
    <t xml:space="preserve">Direct link to this item on suppliers website </t>
  </si>
  <si>
    <t>Sub-Total</t>
  </si>
  <si>
    <t>Estimated Shipping</t>
  </si>
  <si>
    <t>Grand Total</t>
  </si>
  <si>
    <t>Single Part</t>
  </si>
  <si>
    <t>Wonrabai Servo Driver Board</t>
  </si>
  <si>
    <t>B0CTMM4LWK</t>
  </si>
  <si>
    <t>https://www.amazon.com/dp/B0CTMM4LWK?ref=ppx_yo2ov_dt_b_fed_asin_title&amp;th=1</t>
  </si>
  <si>
    <t>B07Z1TQYDN</t>
  </si>
  <si>
    <t>2 x 6 ft</t>
  </si>
  <si>
    <t>USB A to USB C</t>
  </si>
  <si>
    <t>https://www.amazon.com/dp/B07Z1TQYDN?ref=ppx_yo2ov_dt_b_fed_asin_title&amp;th=1</t>
  </si>
  <si>
    <t xml:space="preserve">	B08BL55LMB</t>
  </si>
  <si>
    <t>https://www.amazon.com/dp/B08BL55LMB?ref=ppx_yo2ov_dt_b_fed_asin_title&amp;th=1</t>
  </si>
  <si>
    <t>Adjustable Power Supply</t>
  </si>
  <si>
    <t>Feetech STS3215 Digital Servo Motor</t>
  </si>
  <si>
    <t>Pkg. of 6</t>
  </si>
  <si>
    <t>https://www.amazon.com/dp/B0FQHCV9GP?ref=ppx_yo2ov_dt_b_fed_asin_title</t>
  </si>
  <si>
    <t>B0FQHCV9GP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</si>
</sst>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8E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3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44" fontId="0" fillId="3" borderId="1" xfId="1" applyFont="1" applyFill="1" applyBorder="1"/>
    <xf numFmtId="44" fontId="0" fillId="0" borderId="1" xfId="0" applyNumberFormat="1" applyBorder="1"/>
    <xf numFmtId="0" fontId="0" fillId="3" borderId="1" xfId="0" applyFill="1" applyBorder="1"/>
    <xf numFmtId="0" fontId="0" fillId="0" borderId="5" xfId="0" applyBorder="1" applyAlignment="1">
      <alignment horizontal="left"/>
    </xf>
    <xf numFmtId="44" fontId="0" fillId="0" borderId="5" xfId="1" applyFont="1" applyBorder="1"/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/>
    </xf>
    <xf numFmtId="44" fontId="2" fillId="0" borderId="1" xfId="1" applyFont="1" applyBorder="1"/>
    <xf numFmtId="0" fontId="3" fillId="3" borderId="1" xfId="2" applyFill="1" applyBorder="1"/>
    <xf numFmtId="0" fontId="3" fillId="3" borderId="5" xfId="2" applyFill="1" applyBorder="1" applyAlignment="1">
      <alignment horizontal="left" vertical="center"/>
    </xf>
    <xf numFmtId="0" fontId="3" fillId="3" borderId="1" xfId="2" applyFill="1" applyBorder="1" applyAlignment="1">
      <alignment horizontal="left" vertical="center"/>
    </xf>
    <xf numFmtId="1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left"/>
    </xf>
    <xf numFmtId="0" fontId="0" fillId="3" borderId="2" xfId="0" applyFill="1" applyBorder="1" applyAlignment="1">
      <alignment horizontal="left" vertical="top" wrapText="1"/>
    </xf>
    <xf numFmtId="0" fontId="0" fillId="3" borderId="3" xfId="0" applyFill="1" applyBorder="1" applyAlignment="1">
      <alignment horizontal="left" vertical="top" wrapText="1"/>
    </xf>
    <xf numFmtId="0" fontId="0" fillId="3" borderId="4" xfId="0" applyFill="1" applyBorder="1" applyAlignment="1">
      <alignment horizontal="left" vertical="top" wrapText="1"/>
    </xf>
    <xf numFmtId="0" fontId="0" fillId="3" borderId="2" xfId="0" applyFill="1" applyBorder="1" applyAlignment="1">
      <alignment horizontal="left" wrapText="1"/>
    </xf>
    <xf numFmtId="0" fontId="0" fillId="3" borderId="3" xfId="0" applyFill="1" applyBorder="1" applyAlignment="1">
      <alignment horizontal="left" wrapText="1"/>
    </xf>
    <xf numFmtId="0" fontId="0" fillId="3" borderId="4" xfId="0" applyFill="1" applyBorder="1" applyAlignment="1">
      <alignment horizontal="left" wrapText="1"/>
    </xf>
    <xf numFmtId="0" fontId="0" fillId="3" borderId="1" xfId="0" applyFill="1" applyBorder="1" applyAlignment="1">
      <alignment horizontal="left" wrapText="1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com/dp/B08BL55LMB?ref=ppx_yo2ov_dt_b_fed_asin_title&amp;th=1" TargetMode="External"/><Relationship Id="rId2" Type="http://schemas.openxmlformats.org/officeDocument/2006/relationships/hyperlink" Target="https://www.amazon.com/dp/B07Z1TQYDN?ref=ppx_yo2ov_dt_b_fed_asin_title&amp;th=1" TargetMode="External"/><Relationship Id="rId1" Type="http://schemas.openxmlformats.org/officeDocument/2006/relationships/hyperlink" Target="https://www.amazon.com/dp/B0CTMM4LWK?ref=ppx_yo2ov_dt_b_fed_asin_title&amp;th=1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amazon.com/dp/B0FQHCV9GP?ref=ppx_yo2ov_dt_b_fed_asin_tit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94057-087B-4A4F-A813-78468F04414B}">
  <dimension ref="A1:K9"/>
  <sheetViews>
    <sheetView tabSelected="1" workbookViewId="0">
      <selection activeCell="J12" sqref="J12"/>
    </sheetView>
  </sheetViews>
  <sheetFormatPr defaultRowHeight="14.5" x14ac:dyDescent="0.35"/>
  <cols>
    <col min="2" max="2" width="10" customWidth="1"/>
    <col min="6" max="6" width="8.7265625" customWidth="1"/>
    <col min="7" max="7" width="8.984375E-2" customWidth="1"/>
    <col min="8" max="8" width="12.54296875" bestFit="1" customWidth="1"/>
    <col min="11" max="11" width="71" bestFit="1" customWidth="1"/>
  </cols>
  <sheetData>
    <row r="1" spans="1:11" ht="43.5" x14ac:dyDescent="0.35">
      <c r="A1" s="1" t="s">
        <v>0</v>
      </c>
      <c r="B1" s="1" t="s">
        <v>1</v>
      </c>
      <c r="C1" s="2" t="s">
        <v>2</v>
      </c>
      <c r="D1" s="2"/>
      <c r="E1" s="2"/>
      <c r="F1" s="2"/>
      <c r="G1" s="2"/>
      <c r="H1" s="1" t="s">
        <v>3</v>
      </c>
      <c r="I1" s="1" t="s">
        <v>4</v>
      </c>
      <c r="J1" s="1" t="s">
        <v>5</v>
      </c>
      <c r="K1" s="1" t="s">
        <v>6</v>
      </c>
    </row>
    <row r="2" spans="1:11" ht="42" x14ac:dyDescent="0.35">
      <c r="A2" s="3" t="s">
        <v>7</v>
      </c>
      <c r="B2" s="4" t="s">
        <v>8</v>
      </c>
      <c r="C2" s="5" t="s">
        <v>9</v>
      </c>
      <c r="D2" s="6"/>
      <c r="E2" s="6"/>
      <c r="F2" s="6"/>
      <c r="G2" s="7"/>
      <c r="H2" s="3" t="s">
        <v>10</v>
      </c>
      <c r="I2" s="3" t="s">
        <v>11</v>
      </c>
      <c r="J2" s="3" t="s">
        <v>12</v>
      </c>
      <c r="K2" s="3" t="s">
        <v>13</v>
      </c>
    </row>
    <row r="3" spans="1:11" x14ac:dyDescent="0.35">
      <c r="A3" s="21">
        <v>1</v>
      </c>
      <c r="B3" s="9" t="s">
        <v>17</v>
      </c>
      <c r="C3" s="23" t="s">
        <v>18</v>
      </c>
      <c r="D3" s="24"/>
      <c r="E3" s="24"/>
      <c r="F3" s="24"/>
      <c r="G3" s="25"/>
      <c r="H3" s="22" t="s">
        <v>19</v>
      </c>
      <c r="I3" s="10">
        <v>10.55</v>
      </c>
      <c r="J3" s="11">
        <f>I3*A3</f>
        <v>10.55</v>
      </c>
      <c r="K3" s="19" t="s">
        <v>20</v>
      </c>
    </row>
    <row r="4" spans="1:11" x14ac:dyDescent="0.35">
      <c r="A4" s="21">
        <v>1</v>
      </c>
      <c r="B4" s="12" t="s">
        <v>22</v>
      </c>
      <c r="C4" s="26" t="s">
        <v>23</v>
      </c>
      <c r="D4" s="27"/>
      <c r="E4" s="27"/>
      <c r="F4" s="27"/>
      <c r="G4" s="28"/>
      <c r="H4" s="22" t="s">
        <v>21</v>
      </c>
      <c r="I4" s="10">
        <v>7.19</v>
      </c>
      <c r="J4" s="11">
        <f t="shared" ref="J4:J6" si="0">I4*A4</f>
        <v>7.19</v>
      </c>
      <c r="K4" s="20" t="s">
        <v>24</v>
      </c>
    </row>
    <row r="5" spans="1:11" x14ac:dyDescent="0.35">
      <c r="A5" s="21">
        <v>1</v>
      </c>
      <c r="B5" s="12" t="s">
        <v>17</v>
      </c>
      <c r="C5" s="29" t="s">
        <v>27</v>
      </c>
      <c r="D5" s="29"/>
      <c r="E5" s="29"/>
      <c r="F5" s="29"/>
      <c r="G5" s="29"/>
      <c r="H5" s="22" t="s">
        <v>25</v>
      </c>
      <c r="I5" s="10">
        <v>18.989999999999998</v>
      </c>
      <c r="J5" s="11">
        <f t="shared" si="0"/>
        <v>18.989999999999998</v>
      </c>
      <c r="K5" s="20" t="s">
        <v>26</v>
      </c>
    </row>
    <row r="6" spans="1:11" x14ac:dyDescent="0.35">
      <c r="A6" s="8">
        <v>1</v>
      </c>
      <c r="B6" s="12" t="s">
        <v>29</v>
      </c>
      <c r="C6" s="29" t="s">
        <v>28</v>
      </c>
      <c r="D6" s="29"/>
      <c r="E6" s="29"/>
      <c r="F6" s="29"/>
      <c r="G6" s="29"/>
      <c r="H6" s="22" t="s">
        <v>31</v>
      </c>
      <c r="I6" s="10">
        <v>134.99</v>
      </c>
      <c r="J6" s="11">
        <f t="shared" si="0"/>
        <v>134.99</v>
      </c>
      <c r="K6" s="18" t="s">
        <v>30</v>
      </c>
    </row>
    <row r="7" spans="1:11" x14ac:dyDescent="0.35">
      <c r="H7" s="13" t="s">
        <v>14</v>
      </c>
      <c r="I7" s="13"/>
      <c r="J7" s="14">
        <f>SUM(J3:J6)</f>
        <v>171.72000000000003</v>
      </c>
    </row>
    <row r="8" spans="1:11" x14ac:dyDescent="0.35">
      <c r="H8" s="15" t="s">
        <v>15</v>
      </c>
      <c r="I8" s="15"/>
      <c r="J8" s="10"/>
    </row>
    <row r="9" spans="1:11" x14ac:dyDescent="0.35">
      <c r="H9" s="16" t="s">
        <v>16</v>
      </c>
      <c r="I9" s="16"/>
      <c r="J9" s="17">
        <f>J8+J7</f>
        <v>171.72000000000003</v>
      </c>
    </row>
  </sheetData>
  <mergeCells count="9">
    <mergeCell ref="H7:I7"/>
    <mergeCell ref="H8:I8"/>
    <mergeCell ref="H9:I9"/>
    <mergeCell ref="C3:G3"/>
    <mergeCell ref="C4:G4"/>
    <mergeCell ref="C5:G5"/>
    <mergeCell ref="C6:G6"/>
    <mergeCell ref="C1:G1"/>
    <mergeCell ref="C2:G2"/>
  </mergeCells>
  <hyperlinks>
    <hyperlink ref="K3" r:id="rId1" xr:uid="{3790ED3C-CAC7-4BAC-9DEB-80C9C25F5FEC}"/>
    <hyperlink ref="K4" r:id="rId2" xr:uid="{9EBC6712-9E28-4096-91F0-5824131A5735}"/>
    <hyperlink ref="K5" r:id="rId3" xr:uid="{D390D9C5-04B7-48EC-93EE-5647639C7163}"/>
    <hyperlink ref="K6" r:id="rId4" xr:uid="{9B42FC2D-3B82-48DD-963B-BE1656FADAAC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Brage Gundersen</dc:creator>
  <cp:lastModifiedBy>Brage Gundersen</cp:lastModifiedBy>
  <dcterms:created xsi:type="dcterms:W3CDTF">2026-03-10T02:21:58Z</dcterms:created>
  <dcterms:modified xsi:type="dcterms:W3CDTF">2026-03-10T02:35:02Z</dcterms:modified>
</cp:coreProperties>
</file>